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rufus_clark_student_manchester_ac_uk/Documents/Documents/University/Year 3/Individual Project/code/models/data/"/>
    </mc:Choice>
  </mc:AlternateContent>
  <xr:revisionPtr revIDLastSave="152" documentId="8_{00659E19-EDB9-4A85-807C-1379F88B69EF}" xr6:coauthVersionLast="47" xr6:coauthVersionMax="47" xr10:uidLastSave="{A3A0FD61-9C85-41A9-B0CC-58B219E6E563}"/>
  <bookViews>
    <workbookView xWindow="12710" yWindow="0" windowWidth="12980" windowHeight="16090" activeTab="1" xr2:uid="{3AC71859-7A47-46AF-AB5E-931F34361CA9}"/>
  </bookViews>
  <sheets>
    <sheet name="working" sheetId="1" r:id="rId1"/>
    <sheet name="prob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G7" i="2"/>
  <c r="H7" i="2"/>
  <c r="I7" i="2"/>
  <c r="J7" i="2"/>
  <c r="K7" i="2"/>
  <c r="L7" i="2"/>
  <c r="M7" i="2"/>
  <c r="D7" i="2"/>
  <c r="E7" i="2"/>
  <c r="C7" i="2"/>
  <c r="K6" i="2"/>
  <c r="J6" i="2"/>
  <c r="I6" i="2"/>
  <c r="F6" i="2"/>
  <c r="E6" i="2"/>
  <c r="C6" i="2"/>
  <c r="M4" i="2"/>
  <c r="L4" i="2"/>
  <c r="K4" i="2"/>
  <c r="J4" i="2"/>
  <c r="I4" i="2"/>
  <c r="H4" i="2"/>
  <c r="G4" i="2"/>
  <c r="F4" i="2"/>
  <c r="E4" i="2"/>
  <c r="D4" i="2"/>
  <c r="C4" i="2"/>
  <c r="E3" i="2"/>
  <c r="D3" i="2"/>
  <c r="M2" i="2"/>
  <c r="L2" i="2"/>
  <c r="K2" i="2"/>
  <c r="J2" i="2"/>
  <c r="I2" i="2"/>
  <c r="H2" i="2"/>
  <c r="G2" i="2"/>
  <c r="F2" i="2"/>
  <c r="E2" i="2"/>
  <c r="L29" i="1"/>
  <c r="M6" i="2" s="1"/>
  <c r="K29" i="1"/>
  <c r="L6" i="2" s="1"/>
  <c r="J29" i="1"/>
  <c r="I29" i="1"/>
  <c r="H29" i="1"/>
  <c r="G29" i="1"/>
  <c r="H6" i="2" s="1"/>
  <c r="F29" i="1"/>
  <c r="G6" i="2" s="1"/>
  <c r="E29" i="1"/>
  <c r="D29" i="1"/>
  <c r="C29" i="1"/>
  <c r="D6" i="2" s="1"/>
  <c r="L28" i="1"/>
  <c r="K28" i="1"/>
  <c r="J28" i="1"/>
  <c r="I28" i="1"/>
  <c r="H28" i="1"/>
  <c r="G28" i="1"/>
  <c r="F28" i="1"/>
  <c r="E28" i="1"/>
  <c r="D28" i="1"/>
  <c r="C28" i="1"/>
  <c r="L27" i="1"/>
  <c r="M5" i="2" s="1"/>
  <c r="K27" i="1"/>
  <c r="L5" i="2" s="1"/>
  <c r="J27" i="1"/>
  <c r="K5" i="2" s="1"/>
  <c r="I27" i="1"/>
  <c r="J5" i="2" s="1"/>
  <c r="H27" i="1"/>
  <c r="I5" i="2" s="1"/>
  <c r="G27" i="1"/>
  <c r="H5" i="2" s="1"/>
  <c r="F27" i="1"/>
  <c r="G5" i="2" s="1"/>
  <c r="E27" i="1"/>
  <c r="F5" i="2" s="1"/>
  <c r="D27" i="1"/>
  <c r="E5" i="2" s="1"/>
  <c r="C27" i="1"/>
  <c r="D5" i="2" s="1"/>
  <c r="L26" i="1"/>
  <c r="K26" i="1"/>
  <c r="J26" i="1"/>
  <c r="I26" i="1"/>
  <c r="H26" i="1"/>
  <c r="G26" i="1"/>
  <c r="F26" i="1"/>
  <c r="E26" i="1"/>
  <c r="D26" i="1"/>
  <c r="C26" i="1"/>
  <c r="L25" i="1"/>
  <c r="K25" i="1"/>
  <c r="J25" i="1"/>
  <c r="I25" i="1"/>
  <c r="H25" i="1"/>
  <c r="G25" i="1"/>
  <c r="F25" i="1"/>
  <c r="E25" i="1"/>
  <c r="D25" i="1"/>
  <c r="C25" i="1"/>
  <c r="L24" i="1"/>
  <c r="M3" i="2" s="1"/>
  <c r="K24" i="1"/>
  <c r="L3" i="2" s="1"/>
  <c r="J24" i="1"/>
  <c r="K3" i="2" s="1"/>
  <c r="I24" i="1"/>
  <c r="J3" i="2" s="1"/>
  <c r="H24" i="1"/>
  <c r="I3" i="2" s="1"/>
  <c r="G24" i="1"/>
  <c r="H3" i="2" s="1"/>
  <c r="F24" i="1"/>
  <c r="G3" i="2" s="1"/>
  <c r="E24" i="1"/>
  <c r="F3" i="2" s="1"/>
  <c r="D24" i="1"/>
  <c r="C24" i="1"/>
  <c r="L23" i="1"/>
  <c r="K23" i="1"/>
  <c r="J23" i="1"/>
  <c r="I23" i="1"/>
  <c r="H23" i="1"/>
  <c r="G23" i="1"/>
  <c r="F23" i="1"/>
  <c r="E23" i="1"/>
  <c r="D23" i="1"/>
  <c r="C23" i="1"/>
  <c r="D2" i="2" s="1"/>
  <c r="B29" i="1"/>
  <c r="B28" i="1"/>
  <c r="B27" i="1"/>
  <c r="C5" i="2" s="1"/>
  <c r="B26" i="1"/>
  <c r="B25" i="1"/>
  <c r="B24" i="1"/>
  <c r="C3" i="2" s="1"/>
  <c r="B23" i="1"/>
  <c r="C2" i="2" s="1"/>
</calcChain>
</file>

<file path=xl/sharedStrings.xml><?xml version="1.0" encoding="utf-8"?>
<sst xmlns="http://schemas.openxmlformats.org/spreadsheetml/2006/main" count="87" uniqueCount="32">
  <si>
    <t>Failure Rate - Simple</t>
  </si>
  <si>
    <t>MM</t>
  </si>
  <si>
    <t>1/4A</t>
  </si>
  <si>
    <t>1/2A</t>
  </si>
  <si>
    <t>A</t>
  </si>
  <si>
    <t>B</t>
  </si>
  <si>
    <t>C</t>
  </si>
  <si>
    <t>D</t>
  </si>
  <si>
    <t>E</t>
  </si>
  <si>
    <t>F</t>
  </si>
  <si>
    <t>G</t>
  </si>
  <si>
    <t>H</t>
  </si>
  <si>
    <t>lawn dart</t>
  </si>
  <si>
    <t>core sample</t>
  </si>
  <si>
    <t>separation</t>
  </si>
  <si>
    <t>no chute</t>
  </si>
  <si>
    <t>shred</t>
  </si>
  <si>
    <t>unstable</t>
  </si>
  <si>
    <t>motor CATO</t>
  </si>
  <si>
    <t>Failure Rate - Complex</t>
  </si>
  <si>
    <t>Simple - One motor</t>
  </si>
  <si>
    <t>Complex - More than one motor</t>
  </si>
  <si>
    <t>disconnected parts in freefall</t>
  </si>
  <si>
    <t>ballistic (with nose deployed)</t>
  </si>
  <si>
    <t>ballistic</t>
  </si>
  <si>
    <t>rocket comes apart in flight</t>
  </si>
  <si>
    <t>handled by PyRocket</t>
  </si>
  <si>
    <t>vary burn time and total impulse with thrust_reshape</t>
  </si>
  <si>
    <t>Simple</t>
  </si>
  <si>
    <t>Notes</t>
  </si>
  <si>
    <t>N/A</t>
  </si>
  <si>
    <t>no recovery device deployed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</si>
</sst>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C771-44C8-40E6-8473-194D4DDAFF9B}">
  <dimension ref="A1:L35"/>
  <sheetViews>
    <sheetView workbookViewId="0">
      <selection activeCell="C20" sqref="C20"/>
    </sheetView>
  </sheetViews>
  <sheetFormatPr defaultRowHeight="14.5" x14ac:dyDescent="0.35"/>
  <cols>
    <col min="1" max="1" width="18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3.2000000000000001E-2</v>
      </c>
      <c r="C2" s="1">
        <v>3.6999999999999998E-2</v>
      </c>
      <c r="D2" s="1">
        <v>2.1000000000000001E-2</v>
      </c>
      <c r="E2" s="1">
        <v>4.0000000000000001E-3</v>
      </c>
      <c r="F2" s="1">
        <v>3.0000000000000001E-3</v>
      </c>
      <c r="G2" s="1">
        <v>1.2E-2</v>
      </c>
      <c r="H2" s="1">
        <v>0.02</v>
      </c>
      <c r="I2" s="1">
        <v>4.8000000000000001E-2</v>
      </c>
      <c r="J2" s="1">
        <v>7.0000000000000001E-3</v>
      </c>
      <c r="K2" s="1">
        <v>1.7000000000000001E-2</v>
      </c>
      <c r="L2" s="1">
        <v>0</v>
      </c>
    </row>
    <row r="3" spans="1:12" x14ac:dyDescent="0.35">
      <c r="A3" t="s">
        <v>13</v>
      </c>
      <c r="B3" s="1">
        <v>0</v>
      </c>
      <c r="C3" s="1">
        <v>0</v>
      </c>
      <c r="D3" s="1">
        <v>0</v>
      </c>
      <c r="E3" s="1">
        <v>3.0000000000000001E-3</v>
      </c>
      <c r="F3" s="1">
        <v>2E-3</v>
      </c>
      <c r="G3" s="1">
        <v>2E-3</v>
      </c>
      <c r="H3" s="1">
        <v>7.0000000000000001E-3</v>
      </c>
      <c r="I3" s="1">
        <v>1.2999999999999999E-2</v>
      </c>
      <c r="J3" s="1">
        <v>4.0000000000000001E-3</v>
      </c>
      <c r="K3" s="1">
        <v>0</v>
      </c>
      <c r="L3" s="1">
        <v>3.5000000000000003E-2</v>
      </c>
    </row>
    <row r="4" spans="1:12" x14ac:dyDescent="0.35">
      <c r="A4" t="s">
        <v>14</v>
      </c>
      <c r="B4" s="1">
        <v>0</v>
      </c>
      <c r="C4" s="1">
        <v>3.6999999999999998E-2</v>
      </c>
      <c r="D4" s="1">
        <v>2.7E-2</v>
      </c>
      <c r="E4" s="1">
        <v>2.5999999999999999E-2</v>
      </c>
      <c r="F4" s="1">
        <v>3.5999999999999997E-2</v>
      </c>
      <c r="G4" s="1">
        <v>2.5000000000000001E-2</v>
      </c>
      <c r="H4" s="1">
        <v>2.5999999999999999E-2</v>
      </c>
      <c r="I4" s="1">
        <v>1.2999999999999999E-2</v>
      </c>
      <c r="J4" s="1">
        <v>1.0999999999999999E-2</v>
      </c>
      <c r="K4" s="1">
        <v>1.7000000000000001E-2</v>
      </c>
      <c r="L4" s="1">
        <v>0</v>
      </c>
    </row>
    <row r="5" spans="1:12" x14ac:dyDescent="0.35">
      <c r="A5" t="s">
        <v>15</v>
      </c>
      <c r="B5" s="1">
        <v>3.2000000000000001E-2</v>
      </c>
      <c r="C5" s="1">
        <v>0</v>
      </c>
      <c r="D5" s="1">
        <v>5.0000000000000001E-3</v>
      </c>
      <c r="E5" s="1">
        <v>1.7000000000000001E-2</v>
      </c>
      <c r="F5" s="1">
        <v>1.0999999999999999E-2</v>
      </c>
      <c r="G5" s="1">
        <v>1.0999999999999999E-2</v>
      </c>
      <c r="H5" s="1">
        <v>1.9E-2</v>
      </c>
      <c r="I5" s="1">
        <v>8.9999999999999993E-3</v>
      </c>
      <c r="J5" s="1">
        <v>7.0000000000000001E-3</v>
      </c>
      <c r="K5" s="1">
        <v>1.7000000000000001E-2</v>
      </c>
      <c r="L5" s="1">
        <v>1.7999999999999999E-2</v>
      </c>
    </row>
    <row r="6" spans="1:12" x14ac:dyDescent="0.35">
      <c r="A6" t="s">
        <v>16</v>
      </c>
      <c r="B6" s="1">
        <v>0</v>
      </c>
      <c r="C6" s="1">
        <v>0</v>
      </c>
      <c r="D6" s="1">
        <v>1.0999999999999999E-2</v>
      </c>
      <c r="E6" s="1">
        <v>3.0000000000000001E-3</v>
      </c>
      <c r="F6" s="1">
        <v>1E-3</v>
      </c>
      <c r="G6" s="1">
        <v>2E-3</v>
      </c>
      <c r="H6" s="1">
        <v>2E-3</v>
      </c>
      <c r="I6" s="1">
        <v>0</v>
      </c>
      <c r="J6" s="1">
        <v>0</v>
      </c>
      <c r="K6" s="1">
        <v>0</v>
      </c>
      <c r="L6" s="1">
        <v>0</v>
      </c>
    </row>
    <row r="7" spans="1:12" x14ac:dyDescent="0.35">
      <c r="A7" t="s">
        <v>17</v>
      </c>
      <c r="B7" s="1">
        <v>0.13</v>
      </c>
      <c r="C7" s="1">
        <v>0</v>
      </c>
      <c r="D7" s="1">
        <v>5.0000000000000001E-3</v>
      </c>
      <c r="E7" s="1">
        <v>1.7999999999999999E-2</v>
      </c>
      <c r="F7" s="1">
        <v>1.4999999999999999E-2</v>
      </c>
      <c r="G7" s="1">
        <v>1.4999999999999999E-2</v>
      </c>
      <c r="H7" s="1">
        <v>1.0999999999999999E-2</v>
      </c>
      <c r="I7" s="1">
        <v>2.5999999999999999E-2</v>
      </c>
      <c r="J7" s="1">
        <v>7.0000000000000001E-3</v>
      </c>
      <c r="K7" s="1">
        <v>0</v>
      </c>
      <c r="L7" s="1">
        <v>0</v>
      </c>
    </row>
    <row r="8" spans="1:12" x14ac:dyDescent="0.35">
      <c r="A8" t="s">
        <v>18</v>
      </c>
      <c r="B8" s="1">
        <v>0</v>
      </c>
      <c r="C8" s="1">
        <v>0</v>
      </c>
      <c r="D8" s="1">
        <v>0</v>
      </c>
      <c r="E8" s="1">
        <v>7.0000000000000001E-3</v>
      </c>
      <c r="F8" s="1">
        <v>0</v>
      </c>
      <c r="G8" s="1">
        <v>4.0000000000000001E-3</v>
      </c>
      <c r="H8" s="1">
        <v>8.0000000000000002E-3</v>
      </c>
      <c r="I8" s="1">
        <v>4.0000000000000001E-3</v>
      </c>
      <c r="J8" s="1">
        <v>7.0000000000000001E-3</v>
      </c>
      <c r="K8" s="1">
        <v>2.1000000000000001E-2</v>
      </c>
      <c r="L8" s="1">
        <v>1.7999999999999999E-2</v>
      </c>
    </row>
    <row r="10" spans="1:12" x14ac:dyDescent="0.35">
      <c r="A10" t="s">
        <v>19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1:12" x14ac:dyDescent="0.35">
      <c r="A11" t="s">
        <v>12</v>
      </c>
      <c r="B11" s="1">
        <v>0</v>
      </c>
      <c r="C11" s="1"/>
      <c r="D11" s="1">
        <v>0</v>
      </c>
      <c r="E11" s="1">
        <v>0</v>
      </c>
      <c r="F11" s="1">
        <v>0.14299999999999999</v>
      </c>
      <c r="G11" s="1">
        <v>0.13</v>
      </c>
      <c r="H11" s="1">
        <v>8.6999999999999994E-2</v>
      </c>
      <c r="I11" s="1">
        <v>9.2999999999999999E-2</v>
      </c>
      <c r="J11" s="1">
        <v>0.125</v>
      </c>
      <c r="K11" s="1">
        <v>0</v>
      </c>
      <c r="L11" s="1">
        <v>0</v>
      </c>
    </row>
    <row r="12" spans="1:12" x14ac:dyDescent="0.35">
      <c r="A12" t="s">
        <v>13</v>
      </c>
      <c r="B12" s="1">
        <v>0</v>
      </c>
      <c r="C12" s="1"/>
      <c r="D12" s="1">
        <v>0</v>
      </c>
      <c r="E12" s="1">
        <v>0</v>
      </c>
      <c r="F12" s="1">
        <v>0</v>
      </c>
      <c r="G12" s="1">
        <v>1.9E-2</v>
      </c>
      <c r="H12" s="1">
        <v>7.0000000000000001E-3</v>
      </c>
      <c r="I12" s="1">
        <v>0</v>
      </c>
      <c r="J12" s="1">
        <v>0</v>
      </c>
      <c r="K12" s="1">
        <v>0.1</v>
      </c>
      <c r="L12" s="1">
        <v>0</v>
      </c>
    </row>
    <row r="13" spans="1:12" x14ac:dyDescent="0.35">
      <c r="A13" t="s">
        <v>14</v>
      </c>
      <c r="B13" s="1">
        <v>0</v>
      </c>
      <c r="C13" s="1"/>
      <c r="D13" s="1">
        <v>0</v>
      </c>
      <c r="E13" s="1">
        <v>0</v>
      </c>
      <c r="F13" s="1">
        <v>7.0999999999999994E-2</v>
      </c>
      <c r="G13" s="1">
        <v>8.9999999999999993E-3</v>
      </c>
      <c r="H13" s="1">
        <v>0</v>
      </c>
      <c r="I13" s="1">
        <v>5.0000000000000001E-3</v>
      </c>
      <c r="J13" s="1">
        <v>4.2000000000000003E-2</v>
      </c>
      <c r="K13" s="1">
        <v>0</v>
      </c>
      <c r="L13" s="1">
        <v>0</v>
      </c>
    </row>
    <row r="14" spans="1:12" x14ac:dyDescent="0.35">
      <c r="A14" t="s">
        <v>15</v>
      </c>
      <c r="B14" s="1">
        <v>0</v>
      </c>
      <c r="C14" s="1"/>
      <c r="D14" s="1">
        <v>0</v>
      </c>
      <c r="E14" s="1">
        <v>0</v>
      </c>
      <c r="F14" s="1">
        <v>0</v>
      </c>
      <c r="G14" s="1">
        <v>8.9999999999999993E-3</v>
      </c>
      <c r="H14" s="1">
        <v>2.1999999999999999E-2</v>
      </c>
      <c r="I14" s="1">
        <v>1.6E-2</v>
      </c>
      <c r="J14" s="1">
        <v>2.1000000000000001E-2</v>
      </c>
      <c r="K14" s="1">
        <v>0.1</v>
      </c>
      <c r="L14" s="1">
        <v>0</v>
      </c>
    </row>
    <row r="15" spans="1:12" x14ac:dyDescent="0.35">
      <c r="A15" t="s">
        <v>16</v>
      </c>
      <c r="B15" s="1">
        <v>0</v>
      </c>
      <c r="C15" s="1"/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35">
      <c r="A16" t="s">
        <v>17</v>
      </c>
      <c r="B16" s="1">
        <v>0</v>
      </c>
      <c r="C16" s="1"/>
      <c r="D16" s="1">
        <v>0</v>
      </c>
      <c r="E16" s="1">
        <v>0</v>
      </c>
      <c r="F16" s="1">
        <v>7.0999999999999994E-2</v>
      </c>
      <c r="G16" s="1">
        <v>1.9E-2</v>
      </c>
      <c r="H16" s="1">
        <v>2.1999999999999999E-2</v>
      </c>
      <c r="I16" s="1">
        <v>2.7E-2</v>
      </c>
      <c r="J16" s="1">
        <v>6.3E-2</v>
      </c>
      <c r="K16" s="1">
        <v>0.05</v>
      </c>
      <c r="L16" s="1">
        <v>0</v>
      </c>
    </row>
    <row r="17" spans="1:12" x14ac:dyDescent="0.35">
      <c r="A17" t="s">
        <v>18</v>
      </c>
      <c r="B17" s="1">
        <v>0</v>
      </c>
      <c r="C17" s="1"/>
      <c r="D17" s="1">
        <v>0</v>
      </c>
      <c r="E17" s="1">
        <v>0</v>
      </c>
      <c r="F17" s="1">
        <v>7.0999999999999994E-2</v>
      </c>
      <c r="G17" s="1">
        <v>8.9999999999999993E-3</v>
      </c>
      <c r="H17" s="1">
        <v>0</v>
      </c>
      <c r="I17" s="1">
        <v>5.0000000000000001E-3</v>
      </c>
      <c r="J17" s="1">
        <v>0</v>
      </c>
      <c r="K17" s="1">
        <v>0</v>
      </c>
      <c r="L17" s="1">
        <v>0</v>
      </c>
    </row>
    <row r="19" spans="1:12" x14ac:dyDescent="0.35">
      <c r="A19" t="s">
        <v>20</v>
      </c>
    </row>
    <row r="20" spans="1:12" x14ac:dyDescent="0.35">
      <c r="A20" t="s">
        <v>21</v>
      </c>
    </row>
    <row r="22" spans="1:12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</row>
    <row r="23" spans="1:12" x14ac:dyDescent="0.35">
      <c r="A23" t="s">
        <v>12</v>
      </c>
      <c r="B23" s="2">
        <f>B2</f>
        <v>3.2000000000000001E-2</v>
      </c>
      <c r="C23" s="2">
        <f t="shared" ref="C23:L23" si="0">C2</f>
        <v>3.6999999999999998E-2</v>
      </c>
      <c r="D23" s="2">
        <f t="shared" si="0"/>
        <v>2.1000000000000001E-2</v>
      </c>
      <c r="E23" s="2">
        <f t="shared" si="0"/>
        <v>4.0000000000000001E-3</v>
      </c>
      <c r="F23" s="2">
        <f t="shared" si="0"/>
        <v>3.0000000000000001E-3</v>
      </c>
      <c r="G23" s="2">
        <f t="shared" si="0"/>
        <v>1.2E-2</v>
      </c>
      <c r="H23" s="2">
        <f t="shared" si="0"/>
        <v>0.02</v>
      </c>
      <c r="I23" s="2">
        <f t="shared" si="0"/>
        <v>4.8000000000000001E-2</v>
      </c>
      <c r="J23" s="2">
        <f t="shared" si="0"/>
        <v>7.0000000000000001E-3</v>
      </c>
      <c r="K23" s="2">
        <f t="shared" si="0"/>
        <v>1.7000000000000001E-2</v>
      </c>
      <c r="L23" s="2">
        <f t="shared" si="0"/>
        <v>0</v>
      </c>
    </row>
    <row r="24" spans="1:12" x14ac:dyDescent="0.35">
      <c r="A24" t="s">
        <v>13</v>
      </c>
      <c r="B24" s="2">
        <f t="shared" ref="B24:L29" si="1">B3</f>
        <v>0</v>
      </c>
      <c r="C24" s="2">
        <f t="shared" si="1"/>
        <v>0</v>
      </c>
      <c r="D24" s="2">
        <f t="shared" si="1"/>
        <v>0</v>
      </c>
      <c r="E24" s="2">
        <f t="shared" si="1"/>
        <v>3.0000000000000001E-3</v>
      </c>
      <c r="F24" s="2">
        <f t="shared" si="1"/>
        <v>2E-3</v>
      </c>
      <c r="G24" s="2">
        <f t="shared" si="1"/>
        <v>2E-3</v>
      </c>
      <c r="H24" s="2">
        <f t="shared" si="1"/>
        <v>7.0000000000000001E-3</v>
      </c>
      <c r="I24" s="2">
        <f t="shared" si="1"/>
        <v>1.2999999999999999E-2</v>
      </c>
      <c r="J24" s="2">
        <f t="shared" si="1"/>
        <v>4.0000000000000001E-3</v>
      </c>
      <c r="K24" s="2">
        <f t="shared" si="1"/>
        <v>0</v>
      </c>
      <c r="L24" s="2">
        <f t="shared" si="1"/>
        <v>3.5000000000000003E-2</v>
      </c>
    </row>
    <row r="25" spans="1:12" x14ac:dyDescent="0.35">
      <c r="A25" t="s">
        <v>14</v>
      </c>
      <c r="B25" s="2">
        <f t="shared" si="1"/>
        <v>0</v>
      </c>
      <c r="C25" s="2">
        <f t="shared" si="1"/>
        <v>3.6999999999999998E-2</v>
      </c>
      <c r="D25" s="2">
        <f t="shared" si="1"/>
        <v>2.7E-2</v>
      </c>
      <c r="E25" s="2">
        <f t="shared" si="1"/>
        <v>2.5999999999999999E-2</v>
      </c>
      <c r="F25" s="2">
        <f t="shared" si="1"/>
        <v>3.5999999999999997E-2</v>
      </c>
      <c r="G25" s="2">
        <f t="shared" si="1"/>
        <v>2.5000000000000001E-2</v>
      </c>
      <c r="H25" s="2">
        <f t="shared" si="1"/>
        <v>2.5999999999999999E-2</v>
      </c>
      <c r="I25" s="2">
        <f t="shared" si="1"/>
        <v>1.2999999999999999E-2</v>
      </c>
      <c r="J25" s="2">
        <f t="shared" si="1"/>
        <v>1.0999999999999999E-2</v>
      </c>
      <c r="K25" s="2">
        <f t="shared" si="1"/>
        <v>1.7000000000000001E-2</v>
      </c>
      <c r="L25" s="2">
        <f t="shared" si="1"/>
        <v>0</v>
      </c>
    </row>
    <row r="26" spans="1:12" x14ac:dyDescent="0.35">
      <c r="A26" t="s">
        <v>15</v>
      </c>
      <c r="B26" s="2">
        <f t="shared" si="1"/>
        <v>3.2000000000000001E-2</v>
      </c>
      <c r="C26" s="2">
        <f t="shared" si="1"/>
        <v>0</v>
      </c>
      <c r="D26" s="2">
        <f t="shared" si="1"/>
        <v>5.0000000000000001E-3</v>
      </c>
      <c r="E26" s="2">
        <f t="shared" si="1"/>
        <v>1.7000000000000001E-2</v>
      </c>
      <c r="F26" s="2">
        <f t="shared" si="1"/>
        <v>1.0999999999999999E-2</v>
      </c>
      <c r="G26" s="2">
        <f t="shared" si="1"/>
        <v>1.0999999999999999E-2</v>
      </c>
      <c r="H26" s="2">
        <f t="shared" si="1"/>
        <v>1.9E-2</v>
      </c>
      <c r="I26" s="2">
        <f t="shared" si="1"/>
        <v>8.9999999999999993E-3</v>
      </c>
      <c r="J26" s="2">
        <f t="shared" si="1"/>
        <v>7.0000000000000001E-3</v>
      </c>
      <c r="K26" s="2">
        <f t="shared" si="1"/>
        <v>1.7000000000000001E-2</v>
      </c>
      <c r="L26" s="2">
        <f t="shared" si="1"/>
        <v>1.7999999999999999E-2</v>
      </c>
    </row>
    <row r="27" spans="1:12" x14ac:dyDescent="0.35">
      <c r="A27" t="s">
        <v>16</v>
      </c>
      <c r="B27" s="2">
        <f t="shared" si="1"/>
        <v>0</v>
      </c>
      <c r="C27" s="2">
        <f t="shared" si="1"/>
        <v>0</v>
      </c>
      <c r="D27" s="2">
        <f t="shared" si="1"/>
        <v>1.0999999999999999E-2</v>
      </c>
      <c r="E27" s="2">
        <f t="shared" si="1"/>
        <v>3.0000000000000001E-3</v>
      </c>
      <c r="F27" s="2">
        <f t="shared" si="1"/>
        <v>1E-3</v>
      </c>
      <c r="G27" s="2">
        <f t="shared" si="1"/>
        <v>2E-3</v>
      </c>
      <c r="H27" s="2">
        <f t="shared" si="1"/>
        <v>2E-3</v>
      </c>
      <c r="I27" s="2">
        <f t="shared" si="1"/>
        <v>0</v>
      </c>
      <c r="J27" s="2">
        <f t="shared" si="1"/>
        <v>0</v>
      </c>
      <c r="K27" s="2">
        <f t="shared" si="1"/>
        <v>0</v>
      </c>
      <c r="L27" s="2">
        <f t="shared" si="1"/>
        <v>0</v>
      </c>
    </row>
    <row r="28" spans="1:12" x14ac:dyDescent="0.35">
      <c r="A28" t="s">
        <v>17</v>
      </c>
      <c r="B28" s="2">
        <f t="shared" si="1"/>
        <v>0.13</v>
      </c>
      <c r="C28" s="2">
        <f t="shared" si="1"/>
        <v>0</v>
      </c>
      <c r="D28" s="2">
        <f t="shared" si="1"/>
        <v>5.0000000000000001E-3</v>
      </c>
      <c r="E28" s="2">
        <f t="shared" si="1"/>
        <v>1.7999999999999999E-2</v>
      </c>
      <c r="F28" s="2">
        <f t="shared" si="1"/>
        <v>1.4999999999999999E-2</v>
      </c>
      <c r="G28" s="2">
        <f t="shared" si="1"/>
        <v>1.4999999999999999E-2</v>
      </c>
      <c r="H28" s="2">
        <f t="shared" si="1"/>
        <v>1.0999999999999999E-2</v>
      </c>
      <c r="I28" s="2">
        <f t="shared" si="1"/>
        <v>2.5999999999999999E-2</v>
      </c>
      <c r="J28" s="2">
        <f t="shared" si="1"/>
        <v>7.0000000000000001E-3</v>
      </c>
      <c r="K28" s="2">
        <f t="shared" si="1"/>
        <v>0</v>
      </c>
      <c r="L28" s="2">
        <f t="shared" si="1"/>
        <v>0</v>
      </c>
    </row>
    <row r="29" spans="1:12" x14ac:dyDescent="0.35">
      <c r="A29" t="s">
        <v>18</v>
      </c>
      <c r="B29" s="2">
        <f t="shared" si="1"/>
        <v>0</v>
      </c>
      <c r="C29" s="2">
        <f t="shared" si="1"/>
        <v>0</v>
      </c>
      <c r="D29" s="2">
        <f t="shared" si="1"/>
        <v>0</v>
      </c>
      <c r="E29" s="2">
        <f t="shared" si="1"/>
        <v>7.0000000000000001E-3</v>
      </c>
      <c r="F29" s="2">
        <f t="shared" si="1"/>
        <v>0</v>
      </c>
      <c r="G29" s="2">
        <f t="shared" si="1"/>
        <v>4.0000000000000001E-3</v>
      </c>
      <c r="H29" s="2">
        <f t="shared" si="1"/>
        <v>8.0000000000000002E-3</v>
      </c>
      <c r="I29" s="2">
        <f t="shared" si="1"/>
        <v>4.0000000000000001E-3</v>
      </c>
      <c r="J29" s="2">
        <f t="shared" si="1"/>
        <v>7.0000000000000001E-3</v>
      </c>
      <c r="K29" s="2">
        <f t="shared" si="1"/>
        <v>2.1000000000000001E-2</v>
      </c>
      <c r="L29" s="2">
        <f t="shared" si="1"/>
        <v>1.7999999999999999E-2</v>
      </c>
    </row>
    <row r="35" ht="1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29C2-11B2-45EB-A536-E7E9241AFDF4}">
  <dimension ref="A1:M8"/>
  <sheetViews>
    <sheetView tabSelected="1" workbookViewId="0">
      <selection activeCell="A7" sqref="A7"/>
    </sheetView>
  </sheetViews>
  <sheetFormatPr defaultRowHeight="14.5" x14ac:dyDescent="0.35"/>
  <cols>
    <col min="1" max="1" width="43.26953125" bestFit="1" customWidth="1"/>
    <col min="2" max="2" width="10.7265625" bestFit="1" customWidth="1"/>
  </cols>
  <sheetData>
    <row r="1" spans="1:13" x14ac:dyDescent="0.35">
      <c r="A1" t="s">
        <v>29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24</v>
      </c>
      <c r="B2" t="s">
        <v>12</v>
      </c>
      <c r="C2" s="2">
        <f>working!B23</f>
        <v>3.2000000000000001E-2</v>
      </c>
      <c r="D2" s="2">
        <f>working!C23</f>
        <v>3.6999999999999998E-2</v>
      </c>
      <c r="E2" s="2">
        <f>working!D23</f>
        <v>2.1000000000000001E-2</v>
      </c>
      <c r="F2" s="2">
        <f>working!E23</f>
        <v>4.0000000000000001E-3</v>
      </c>
      <c r="G2" s="2">
        <f>working!F23</f>
        <v>3.0000000000000001E-3</v>
      </c>
      <c r="H2" s="2">
        <f>working!G23</f>
        <v>1.2E-2</v>
      </c>
      <c r="I2" s="2">
        <f>working!H23</f>
        <v>0.02</v>
      </c>
      <c r="J2" s="2">
        <f>working!I23</f>
        <v>4.8000000000000001E-2</v>
      </c>
      <c r="K2" s="2">
        <f>working!J23</f>
        <v>7.0000000000000001E-3</v>
      </c>
      <c r="L2" s="2">
        <f>working!K23</f>
        <v>1.7000000000000001E-2</v>
      </c>
      <c r="M2" s="2">
        <f>working!L23</f>
        <v>0</v>
      </c>
    </row>
    <row r="3" spans="1:13" x14ac:dyDescent="0.35">
      <c r="A3" t="s">
        <v>23</v>
      </c>
      <c r="B3" t="s">
        <v>13</v>
      </c>
      <c r="C3" s="2">
        <f>working!B24</f>
        <v>0</v>
      </c>
      <c r="D3" s="2">
        <f>working!C24</f>
        <v>0</v>
      </c>
      <c r="E3" s="2">
        <f>working!D24</f>
        <v>0</v>
      </c>
      <c r="F3" s="2">
        <f>working!E24</f>
        <v>3.0000000000000001E-3</v>
      </c>
      <c r="G3" s="2">
        <f>working!F24</f>
        <v>2E-3</v>
      </c>
      <c r="H3" s="2">
        <f>working!G24</f>
        <v>2E-3</v>
      </c>
      <c r="I3" s="2">
        <f>working!H24</f>
        <v>7.0000000000000001E-3</v>
      </c>
      <c r="J3" s="2">
        <f>working!I24</f>
        <v>1.2999999999999999E-2</v>
      </c>
      <c r="K3" s="2">
        <f>working!J24</f>
        <v>4.0000000000000001E-3</v>
      </c>
      <c r="L3" s="2">
        <f>working!K24</f>
        <v>0</v>
      </c>
      <c r="M3" s="2">
        <f>working!L24</f>
        <v>3.5000000000000003E-2</v>
      </c>
    </row>
    <row r="4" spans="1:13" x14ac:dyDescent="0.35">
      <c r="A4" t="s">
        <v>22</v>
      </c>
      <c r="B4" t="s">
        <v>14</v>
      </c>
      <c r="C4" s="2">
        <f>working!B25</f>
        <v>0</v>
      </c>
      <c r="D4" s="2">
        <f>working!C25</f>
        <v>3.6999999999999998E-2</v>
      </c>
      <c r="E4" s="2">
        <f>working!D25</f>
        <v>2.7E-2</v>
      </c>
      <c r="F4" s="2">
        <f>working!E25</f>
        <v>2.5999999999999999E-2</v>
      </c>
      <c r="G4" s="2">
        <f>working!F25</f>
        <v>3.5999999999999997E-2</v>
      </c>
      <c r="H4" s="2">
        <f>working!G25</f>
        <v>2.5000000000000001E-2</v>
      </c>
      <c r="I4" s="2">
        <f>working!H25</f>
        <v>2.5999999999999999E-2</v>
      </c>
      <c r="J4" s="2">
        <f>working!I25</f>
        <v>1.2999999999999999E-2</v>
      </c>
      <c r="K4" s="2">
        <f>working!J25</f>
        <v>1.0999999999999999E-2</v>
      </c>
      <c r="L4" s="2">
        <f>working!K25</f>
        <v>1.7000000000000001E-2</v>
      </c>
      <c r="M4" s="2">
        <f>working!L25</f>
        <v>0</v>
      </c>
    </row>
    <row r="5" spans="1:13" x14ac:dyDescent="0.35">
      <c r="A5" t="s">
        <v>25</v>
      </c>
      <c r="B5" t="s">
        <v>16</v>
      </c>
      <c r="C5" s="2">
        <f>working!B27</f>
        <v>0</v>
      </c>
      <c r="D5" s="2">
        <f>working!C27</f>
        <v>0</v>
      </c>
      <c r="E5" s="2">
        <f>working!D27</f>
        <v>1.0999999999999999E-2</v>
      </c>
      <c r="F5" s="2">
        <f>working!E27</f>
        <v>3.0000000000000001E-3</v>
      </c>
      <c r="G5" s="2">
        <f>working!F27</f>
        <v>1E-3</v>
      </c>
      <c r="H5" s="2">
        <f>working!G27</f>
        <v>2E-3</v>
      </c>
      <c r="I5" s="2">
        <f>working!H27</f>
        <v>2E-3</v>
      </c>
      <c r="J5" s="2">
        <f>working!I27</f>
        <v>0</v>
      </c>
      <c r="K5" s="2">
        <f>working!J27</f>
        <v>0</v>
      </c>
      <c r="L5" s="2">
        <f>working!K27</f>
        <v>0</v>
      </c>
      <c r="M5" s="2">
        <f>working!L27</f>
        <v>0</v>
      </c>
    </row>
    <row r="6" spans="1:13" x14ac:dyDescent="0.35">
      <c r="A6" t="s">
        <v>27</v>
      </c>
      <c r="B6" t="s">
        <v>18</v>
      </c>
      <c r="C6" s="2">
        <f>working!B29</f>
        <v>0</v>
      </c>
      <c r="D6" s="2">
        <f>working!C29</f>
        <v>0</v>
      </c>
      <c r="E6" s="2">
        <f>working!D29</f>
        <v>0</v>
      </c>
      <c r="F6" s="2">
        <f>working!E29</f>
        <v>7.0000000000000001E-3</v>
      </c>
      <c r="G6" s="2">
        <f>working!F29</f>
        <v>0</v>
      </c>
      <c r="H6" s="2">
        <f>working!G29</f>
        <v>4.0000000000000001E-3</v>
      </c>
      <c r="I6" s="2">
        <f>working!H29</f>
        <v>8.0000000000000002E-3</v>
      </c>
      <c r="J6" s="2">
        <f>working!I29</f>
        <v>4.0000000000000001E-3</v>
      </c>
      <c r="K6" s="2">
        <f>working!J29</f>
        <v>7.0000000000000001E-3</v>
      </c>
      <c r="L6" s="2">
        <f>working!K29</f>
        <v>2.1000000000000001E-2</v>
      </c>
      <c r="M6" s="2">
        <f>working!L29</f>
        <v>1.7999999999999999E-2</v>
      </c>
    </row>
    <row r="7" spans="1:13" x14ac:dyDescent="0.35">
      <c r="A7" t="s">
        <v>31</v>
      </c>
      <c r="B7" t="s">
        <v>15</v>
      </c>
      <c r="C7" s="2">
        <f>working!B26</f>
        <v>3.2000000000000001E-2</v>
      </c>
      <c r="D7" s="2">
        <f>working!C26</f>
        <v>0</v>
      </c>
      <c r="E7" s="2">
        <f>working!D26</f>
        <v>5.0000000000000001E-3</v>
      </c>
      <c r="F7" s="2">
        <f>working!E26</f>
        <v>1.7000000000000001E-2</v>
      </c>
      <c r="G7" s="2">
        <f>working!F26</f>
        <v>1.0999999999999999E-2</v>
      </c>
      <c r="H7" s="2">
        <f>working!G26</f>
        <v>1.0999999999999999E-2</v>
      </c>
      <c r="I7" s="2">
        <f>working!H26</f>
        <v>1.9E-2</v>
      </c>
      <c r="J7" s="2">
        <f>working!I26</f>
        <v>8.9999999999999993E-3</v>
      </c>
      <c r="K7" s="2">
        <f>working!J26</f>
        <v>7.0000000000000001E-3</v>
      </c>
      <c r="L7" s="2">
        <f>working!K26</f>
        <v>1.7000000000000001E-2</v>
      </c>
      <c r="M7" s="2">
        <f>working!L26</f>
        <v>1.7999999999999999E-2</v>
      </c>
    </row>
    <row r="8" spans="1:13" x14ac:dyDescent="0.35">
      <c r="A8" t="s">
        <v>26</v>
      </c>
      <c r="B8" t="s">
        <v>17</v>
      </c>
      <c r="C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</vt:lpstr>
      <vt:lpstr>probability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Rufus Clark</dc:creator>
  <cp:lastModifiedBy>Rufus Clark</cp:lastModifiedBy>
  <dcterms:created xsi:type="dcterms:W3CDTF">2026-02-24T16:10:32Z</dcterms:created>
  <dcterms:modified xsi:type="dcterms:W3CDTF">2026-05-11T15:56:04Z</dcterms:modified>
</cp:coreProperties>
</file>